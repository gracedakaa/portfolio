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codeName="ThisWorkbook"/>
  <bookViews>
    <workbookView windowWidth="20490" windowHeight="7500"/>
  </bookViews>
  <sheets>
    <sheet name="Translation 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<sst xmlns="http://schemas.openxmlformats.org/spreadsheetml/2006/main" count="125" uniqueCount="67">
  <si>
    <t>Translation Sample</t>
  </si>
  <si>
    <t>words</t>
  </si>
  <si>
    <t>Title</t>
  </si>
  <si>
    <t>Ser/Ep</t>
  </si>
  <si>
    <t>Subtitle</t>
  </si>
  <si>
    <t>Description</t>
  </si>
  <si>
    <t>Showings</t>
  </si>
  <si>
    <t>Cast</t>
  </si>
  <si>
    <t>Director</t>
  </si>
  <si>
    <t>Cast AKA</t>
  </si>
  <si>
    <t>Original</t>
  </si>
  <si>
    <t>Translated</t>
  </si>
  <si>
    <t>Length</t>
  </si>
  <si>
    <t>Len</t>
  </si>
  <si>
    <t>To Do</t>
  </si>
  <si>
    <t>No.</t>
  </si>
  <si>
    <t>CET</t>
  </si>
  <si>
    <t>Black Site (2018)</t>
  </si>
  <si>
    <t>Kituo Cha Siri (2018)</t>
  </si>
  <si>
    <t>x</t>
  </si>
  <si>
    <t>Encountering a supernatural entity known as The Elder Gods, an elite military unit finds itself forced to battle against an army from another world. At its heart is a young woman who must overcome her darkest fears in order to save the world.</t>
  </si>
  <si>
    <t>Kinapokutana na kiumbe cha kimuungu kinachojulikana kama Miungu wa Kale, kikosi bora cha kijeshi kinajikuta kimelazimishwa kupigana na jeshi kutoka ulimwengu mwingine. Moyo wa hadithi ni msichana ambaye lazima ashinde hofu zake zenye giza zaidi ili kuokoa dunia.</t>
  </si>
  <si>
    <t>Jessica-Jane Stafford, Sophia Del Pizzo, Lauren Ashley Carter</t>
  </si>
  <si>
    <t>Tom Paton</t>
  </si>
  <si>
    <t>Empire State (2013)</t>
  </si>
  <si>
    <t>Two childhood friends – one of whom originally wanted to be a cop – plan to rob an armoured car depository. However, an NYPD officer stands in their way, and the local crime lords aren't too happy about these newcomers either.</t>
  </si>
  <si>
    <t>Marafiki wawili wa utotoni – mmoja wao ambaye awali alitaka kuwa polisi – wanapanga kuiba hifadhi ya magari ya ulinzi. Hata hivyo, afisa wa NYPD anazuia njia yao, na mabwana wa uhalifu wa eneo hilo hawafurahii sana na hawa wageni wapya pia.</t>
  </si>
  <si>
    <t>Dwayne Johnson, Liam Hemsworth, Emma Roberts</t>
  </si>
  <si>
    <t>Dito Montiel</t>
  </si>
  <si>
    <t>"The Rock" (Dwayne Johnson)</t>
  </si>
  <si>
    <t>Chicago Fire</t>
  </si>
  <si>
    <t>Moto wa Chicago</t>
  </si>
  <si>
    <t>Drama series revolving around the eventful lives of the firefighters, rescue squad personnel and paramedics of Chicago Firehouse 51. This season finds the team dealing with the fall-out from a deadly apartment fire explosion.</t>
  </si>
  <si>
    <t>Mfululizo wa tamthilia unaozungukia maisha yenye matukio ya wazima moto, wafanyakazi wa kikosi cha uokoaji na wahudumu wa huduma ya kwanza wa Kituo cha Moto cha Chicago 51. Msimu huu unawaonyesha wanakikosi wakishughulikia matokeo ya mlipuko wa moto wa hatari katika nyumba ya makazi.</t>
  </si>
  <si>
    <t>Always</t>
  </si>
  <si>
    <t>Sikuzote</t>
  </si>
  <si>
    <t>Boden forces members of Firehouse 51 to pull together in the aftermath of a harrowing explosion.</t>
  </si>
  <si>
    <t>Boden anawalazimisha wanachama wa Kituo cha Moto 51 kushirikiana baada ya mlipuko wa kutisha.</t>
  </si>
  <si>
    <t>9/11/21 (19:00), 14/11/21 (18:00)</t>
  </si>
  <si>
    <t>9/11/21 (18:00), 14/11/21 (17:00)</t>
  </si>
  <si>
    <t>Departure</t>
  </si>
  <si>
    <t>Kuondoka</t>
  </si>
  <si>
    <t>Runaway</t>
  </si>
  <si>
    <t>Mtoro</t>
  </si>
  <si>
    <t>When a high-speed train crashes in rural Michigan, Kendra Malley is called in to investigate.</t>
  </si>
  <si>
    <t>Treni ya kasi inapopata ajali katika mashambani ya Michigan, Kendra Malley aitwa kuchunguza.</t>
  </si>
  <si>
    <t>11/11/21 (22:00), 13/11/21 (18:00)</t>
  </si>
  <si>
    <t>11/11/21 (21:00), 13/11/21 (17:00)</t>
  </si>
  <si>
    <t>NCIS: New Orleans</t>
  </si>
  <si>
    <t>Rogue Nation</t>
  </si>
  <si>
    <t>Taifa la Wahalifu</t>
  </si>
  <si>
    <t>While Pride remains on probation, the team investigate a homicide involving stolen nuclear waste.</t>
  </si>
  <si>
    <t>Wakati Pride bado yupo kwenye kipindi cha majaribio, kikosi kinachunguza mauaji yanayohusisha taka za nyuklia zilizobiwa.</t>
  </si>
  <si>
    <t>15/11/21 (20:00), 16/11/21 (11:00), 20/11/21 (12:00)</t>
  </si>
  <si>
    <t>15/11/21 (19:00), 16/11/21 (10:00), 20/11/21 (11:00)</t>
  </si>
  <si>
    <t>The Outpost</t>
  </si>
  <si>
    <t>Ngome ya Pori</t>
  </si>
  <si>
    <t>Someone Has to Rule</t>
  </si>
  <si>
    <t>Lazima Mtu Atawale</t>
  </si>
  <si>
    <t>Garret hopes to see Talon to take the throne, while a mysterious assassin seeks revenge.</t>
  </si>
  <si>
    <t>Garret anatumai kumuona Talon akichukua kiti cha enzi, huku muuaji wa siri anatafuta kisasi.</t>
  </si>
  <si>
    <t>Warehouse 13</t>
  </si>
  <si>
    <t>Ghala la 13</t>
  </si>
  <si>
    <t>Mild Mannered</t>
  </si>
  <si>
    <t>Mwenye Tabia Ya Upole</t>
  </si>
  <si>
    <t>The team goes after an artefact that can turn individuals into superheroes.</t>
  </si>
  <si>
    <t>Kikosi kinakifuata kifaa cha kihistoria ambacho kinaweza kubadilisha watu kuwa mashujaa.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</si>
</sst>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9"/>
      <name val="Verdana"/>
      <charset val="134"/>
    </font>
    <font>
      <sz val="9"/>
      <name val="Verdana"/>
      <charset val="134"/>
    </font>
    <font>
      <b/>
      <sz val="9"/>
      <name val="Verdana"/>
      <charset val="134"/>
    </font>
    <font>
      <sz val="9"/>
      <color indexed="55"/>
      <name val="Geneva"/>
      <charset val="134"/>
    </font>
    <font>
      <sz val="9"/>
      <color indexed="55"/>
      <name val="Verdana"/>
      <charset val="134"/>
    </font>
    <font>
      <b/>
      <sz val="9"/>
      <color indexed="55"/>
      <name val="Verdan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indexed="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4" borderId="7" applyNumberFormat="0" applyAlignment="0" applyProtection="0">
      <alignment vertical="center"/>
    </xf>
    <xf numFmtId="0" fontId="16" fillId="5" borderId="8" applyNumberFormat="0" applyAlignment="0" applyProtection="0">
      <alignment vertical="center"/>
    </xf>
    <xf numFmtId="0" fontId="17" fillId="5" borderId="7" applyNumberFormat="0" applyAlignment="0" applyProtection="0">
      <alignment vertical="center"/>
    </xf>
    <xf numFmtId="0" fontId="18" fillId="6"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xf numFmtId="49" fontId="0" fillId="0" borderId="0" xfId="0" applyNumberFormat="1" applyAlignment="1">
      <alignment wrapText="1"/>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wrapText="1"/>
    </xf>
    <xf numFmtId="0" fontId="0" fillId="0" borderId="0" xfId="0" applyAlignment="1" applyProtection="1">
      <alignment wrapText="1"/>
      <protection locked="0"/>
    </xf>
    <xf numFmtId="0" fontId="0" fillId="0" borderId="3" xfId="0" applyBorder="1"/>
    <xf numFmtId="0" fontId="3" fillId="0" borderId="3" xfId="0" applyFont="1" applyBorder="1"/>
    <xf numFmtId="0" fontId="3" fillId="0" borderId="0" xfId="0" applyFont="1"/>
    <xf numFmtId="49" fontId="2" fillId="2" borderId="0" xfId="0" applyNumberFormat="1" applyFont="1" applyFill="1" applyAlignment="1">
      <alignment wrapText="1"/>
    </xf>
    <xf numFmtId="49" fontId="1" fillId="0" borderId="0" xfId="0" applyNumberFormat="1" applyFont="1" applyAlignment="1" applyProtection="1">
      <alignment wrapText="1"/>
      <protection locked="0"/>
    </xf>
    <xf numFmtId="0" fontId="1" fillId="0" borderId="0" xfId="0" applyFont="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49" fontId="1" fillId="0" borderId="0" xfId="0" applyNumberFormat="1" applyFont="1" applyAlignment="1">
      <alignment wrapText="1"/>
    </xf>
    <xf numFmtId="49" fontId="2" fillId="0" borderId="0" xfId="0" applyNumberFormat="1" applyFont="1" applyAlignment="1">
      <alignment wrapText="1"/>
    </xf>
    <xf numFmtId="0" fontId="2" fillId="0" borderId="0" xfId="0" applyFont="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49" fontId="0" fillId="0" borderId="0" xfId="0" applyNumberFormat="1" applyAlignment="1" applyProtection="1">
      <alignment wrapText="1"/>
      <protection locked="0"/>
    </xf>
    <xf numFmtId="0" fontId="1" fillId="0" borderId="0" xfId="0" applyFont="1" applyAlignment="1">
      <alignment wrapText="1"/>
    </xf>
    <xf numFmtId="0" fontId="2" fillId="0" borderId="0" xfId="0" applyFont="1" applyAlignment="1">
      <alignment wrapText="1"/>
    </xf>
    <xf numFmtId="0" fontId="1" fillId="0" borderId="3" xfId="0" applyFont="1" applyBorder="1"/>
    <xf numFmtId="0" fontId="4" fillId="0" borderId="3" xfId="0" applyFont="1" applyBorder="1"/>
    <xf numFmtId="0" fontId="2" fillId="0" borderId="3" xfId="0" applyFont="1" applyBorder="1"/>
    <xf numFmtId="0" fontId="2" fillId="0" borderId="3" xfId="0" applyFont="1" applyBorder="1" applyAlignment="1">
      <alignment horizontal="right"/>
    </xf>
    <xf numFmtId="0" fontId="5"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bgColor indexed="13"/>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G11"/>
  <sheetViews>
    <sheetView tabSelected="1" workbookViewId="0">
      <pane ySplit="3" topLeftCell="A4" activePane="bottomLeft" state="frozen"/>
      <selection/>
      <selection pane="bottomLeft" activeCell="A1" sqref="A1"/>
    </sheetView>
  </sheetViews>
  <sheetFormatPr defaultColWidth="11" defaultRowHeight="11.25"/>
  <cols>
    <col min="1" max="2" width="20.6666666666667" style="3" customWidth="1"/>
    <col min="3" max="3" width="6.83333333333333" customWidth="1"/>
    <col min="4" max="4" width="4.66666666666667" style="4" hidden="1" customWidth="1"/>
    <col min="5" max="5" width="5.33333333333333" style="5" customWidth="1"/>
    <col min="6" max="6" width="6.83333333333333" style="6" customWidth="1"/>
    <col min="7" max="8" width="20.6666666666667" style="3" customWidth="1"/>
    <col min="9" max="9" width="6.83333333333333" customWidth="1"/>
    <col min="10" max="10" width="4.66666666666667" style="4" hidden="1" customWidth="1"/>
    <col min="11" max="11" width="5.33333333333333" style="5" customWidth="1"/>
    <col min="12" max="12" width="40.6666666666667" style="7" customWidth="1"/>
    <col min="13" max="13" width="40.6666666666667" style="8" customWidth="1"/>
    <col min="14" max="14" width="6.83333333333333" customWidth="1"/>
    <col min="15" max="15" width="4.66666666666667" style="4" hidden="1" customWidth="1"/>
    <col min="16" max="16" width="5.33333333333333" style="4" customWidth="1"/>
    <col min="17" max="17" width="15" style="9" hidden="1" customWidth="1"/>
    <col min="18" max="18" width="15" hidden="1" customWidth="1"/>
    <col min="19" max="19" width="27.6666666666667" style="10" customWidth="1"/>
    <col min="20" max="20" width="30" style="11" customWidth="1"/>
    <col min="21" max="21" width="6.83333333333333" customWidth="1"/>
    <col min="22" max="22" width="4.66666666666667" style="4" hidden="1" customWidth="1"/>
    <col min="23" max="23" width="5.33333333333333" style="4" customWidth="1"/>
    <col min="24" max="24" width="27.6666666666667" style="10" customWidth="1"/>
    <col min="25" max="25" width="30" style="11" customWidth="1"/>
    <col min="26" max="26" width="6.83333333333333" customWidth="1"/>
    <col min="27" max="27" width="4.66666666666667" style="4" hidden="1" customWidth="1"/>
    <col min="28" max="28" width="5.33333333333333" style="4" customWidth="1"/>
    <col min="29" max="29" width="27.6666666666667" style="10" customWidth="1"/>
    <col min="30" max="30" width="30" style="11" customWidth="1"/>
    <col min="31" max="31" width="6.83333333333333" customWidth="1"/>
    <col min="32" max="32" width="4.66666666666667" style="4" hidden="1" customWidth="1"/>
    <col min="33" max="33" width="5.33333333333333" style="4" customWidth="1"/>
  </cols>
  <sheetData>
    <row r="1" s="1" customFormat="1" spans="1:33">
      <c r="A1" s="12" t="s">
        <v>0</v>
      </c>
      <c r="B1" s="13"/>
      <c r="C1" s="1">
        <f>SUMIF(E:E,"x",D:D)</f>
        <v>13</v>
      </c>
      <c r="D1" s="14"/>
      <c r="E1" s="15" t="s">
        <v>1</v>
      </c>
      <c r="F1" s="16"/>
      <c r="G1" s="17"/>
      <c r="H1" s="13"/>
      <c r="I1" s="1">
        <f>SUMIF(K:K,"x",J:J)</f>
        <v>12</v>
      </c>
      <c r="J1" s="14"/>
      <c r="K1" s="15" t="s">
        <v>1</v>
      </c>
      <c r="L1" s="23"/>
      <c r="M1" s="23"/>
      <c r="N1" s="1">
        <f>SUMIF(P:P,"x",O:O)</f>
        <v>185</v>
      </c>
      <c r="O1" s="14"/>
      <c r="P1" s="14" t="s">
        <v>1</v>
      </c>
      <c r="Q1" s="25"/>
      <c r="S1" s="26"/>
      <c r="T1" s="2"/>
      <c r="U1" s="1">
        <f>SUMIF(W:W,"x",V:V)</f>
        <v>0</v>
      </c>
      <c r="V1" s="14"/>
      <c r="W1" s="14" t="s">
        <v>1</v>
      </c>
      <c r="X1" s="26"/>
      <c r="Y1" s="2"/>
      <c r="Z1" s="1">
        <f>SUMIF(AB:AB,"x",AA:AA)</f>
        <v>0</v>
      </c>
      <c r="AA1" s="14"/>
      <c r="AB1" s="14" t="s">
        <v>1</v>
      </c>
      <c r="AC1" s="26"/>
      <c r="AD1" s="2"/>
      <c r="AE1" s="1">
        <f>SUMIF(AG:AG,"x",AF:AF)</f>
        <v>0</v>
      </c>
      <c r="AF1" s="14"/>
      <c r="AG1" s="14" t="s">
        <v>1</v>
      </c>
    </row>
    <row r="2" s="2" customFormat="1" spans="1:33">
      <c r="A2" s="18"/>
      <c r="B2" s="18" t="s">
        <v>2</v>
      </c>
      <c r="D2" s="19"/>
      <c r="E2" s="20"/>
      <c r="F2" s="21" t="s">
        <v>3</v>
      </c>
      <c r="G2" s="18"/>
      <c r="H2" s="18" t="s">
        <v>4</v>
      </c>
      <c r="J2" s="19"/>
      <c r="K2" s="20"/>
      <c r="L2" s="24"/>
      <c r="M2" s="24" t="s">
        <v>5</v>
      </c>
      <c r="O2" s="19"/>
      <c r="P2" s="19"/>
      <c r="Q2" s="27" t="s">
        <v>6</v>
      </c>
      <c r="S2" s="28" t="s">
        <v>7</v>
      </c>
      <c r="T2" s="29"/>
      <c r="V2" s="19"/>
      <c r="W2" s="19"/>
      <c r="X2" s="28" t="s">
        <v>8</v>
      </c>
      <c r="Y2" s="29"/>
      <c r="AA2" s="19"/>
      <c r="AB2" s="19"/>
      <c r="AC2" s="28" t="s">
        <v>9</v>
      </c>
      <c r="AD2" s="29"/>
      <c r="AF2" s="19"/>
      <c r="AG2" s="19"/>
    </row>
    <row r="3" s="2" customFormat="1" spans="1:33">
      <c r="A3" s="18" t="s">
        <v>10</v>
      </c>
      <c r="B3" s="18" t="s">
        <v>11</v>
      </c>
      <c r="C3" s="2" t="s">
        <v>12</v>
      </c>
      <c r="D3" s="19" t="s">
        <v>13</v>
      </c>
      <c r="E3" s="20" t="s">
        <v>14</v>
      </c>
      <c r="F3" s="21" t="s">
        <v>15</v>
      </c>
      <c r="G3" s="18" t="s">
        <v>10</v>
      </c>
      <c r="H3" s="18" t="s">
        <v>11</v>
      </c>
      <c r="I3" s="2" t="s">
        <v>12</v>
      </c>
      <c r="J3" s="19" t="s">
        <v>13</v>
      </c>
      <c r="K3" s="20" t="s">
        <v>14</v>
      </c>
      <c r="L3" s="24" t="s">
        <v>10</v>
      </c>
      <c r="M3" s="24" t="s">
        <v>11</v>
      </c>
      <c r="N3" s="2" t="s">
        <v>12</v>
      </c>
      <c r="O3" s="19" t="s">
        <v>13</v>
      </c>
      <c r="P3" s="19" t="s">
        <v>14</v>
      </c>
      <c r="Q3" s="27" t="s">
        <v>16</v>
      </c>
      <c r="S3" s="18" t="s">
        <v>10</v>
      </c>
      <c r="T3" s="18" t="s">
        <v>11</v>
      </c>
      <c r="U3" s="2" t="s">
        <v>12</v>
      </c>
      <c r="V3" s="19" t="s">
        <v>13</v>
      </c>
      <c r="W3" s="19" t="s">
        <v>14</v>
      </c>
      <c r="X3" s="18" t="s">
        <v>10</v>
      </c>
      <c r="Y3" s="18" t="s">
        <v>11</v>
      </c>
      <c r="Z3" s="2" t="s">
        <v>12</v>
      </c>
      <c r="AA3" s="19" t="s">
        <v>13</v>
      </c>
      <c r="AB3" s="19" t="s">
        <v>14</v>
      </c>
      <c r="AC3" s="18" t="s">
        <v>10</v>
      </c>
      <c r="AD3" s="18" t="s">
        <v>11</v>
      </c>
      <c r="AE3" s="2" t="s">
        <v>12</v>
      </c>
      <c r="AF3" s="19" t="s">
        <v>13</v>
      </c>
      <c r="AG3" s="19" t="s">
        <v>14</v>
      </c>
    </row>
    <row r="4" ht="67.5" spans="1:30">
      <c r="A4" s="3" t="s">
        <v>17</v>
      </c>
      <c r="B4" t="s">
        <v>18</v>
      </c>
      <c r="C4" t="str">
        <f t="shared" ref="C4:C11" si="0">IF(LEN(B4)=0,"",IF(LEN(B4)&gt;80,"**","")&amp;LEN(B4))</f>
        <v>21</v>
      </c>
      <c r="E4" s="5" t="s">
        <v>19</v>
      </c>
      <c r="L4" s="7" t="s">
        <v>20</v>
      </c>
      <c r="M4" s="7" t="s">
        <v>21</v>
      </c>
      <c r="N4" t="str">
        <f>IF(LEN(M4)=0,"",IF(LEN(M4)&gt;250,"**","")&amp;LEN(M4))</f>
        <v>**262</v>
      </c>
      <c r="O4" s="4">
        <f>IF(LEN(TRIM(M4))=0,0,LEN(TRIM(LEFT(M4,250)))-LEN(SUBSTITUTE(LEFT(M4,250)," ",""))+1)</f>
        <v>37</v>
      </c>
      <c r="P4" s="5" t="s">
        <v>19</v>
      </c>
      <c r="S4" s="3" t="s">
        <v>22</v>
      </c>
      <c r="T4" s="3"/>
      <c r="U4" t="str">
        <f>IF(LEN(T4)=0,"",IF(LEN(T4)&gt;250,"**","")&amp;LEN(T4))</f>
        <v/>
      </c>
      <c r="W4" s="5" t="s">
        <v>19</v>
      </c>
      <c r="X4" s="3" t="s">
        <v>23</v>
      </c>
      <c r="Y4" s="3"/>
      <c r="Z4" t="str">
        <f>IF(LEN(Y4)=0,"",IF(LEN(Y4)&gt;250,"**","")&amp;LEN(Y4))</f>
        <v/>
      </c>
      <c r="AB4" s="5" t="s">
        <v>19</v>
      </c>
      <c r="AC4" s="3"/>
      <c r="AD4" s="3"/>
    </row>
    <row r="5" ht="67.5" spans="1:33">
      <c r="A5" s="3" t="s">
        <v>24</v>
      </c>
      <c r="B5" t="s">
        <v>24</v>
      </c>
      <c r="C5" t="str">
        <f t="shared" si="0"/>
        <v>19</v>
      </c>
      <c r="E5" s="5" t="s">
        <v>19</v>
      </c>
      <c r="L5" s="7" t="s">
        <v>25</v>
      </c>
      <c r="M5" s="7" t="s">
        <v>26</v>
      </c>
      <c r="N5" t="str">
        <f>IF(LEN(M5)=0,"",IF(LEN(M5)&gt;250,"**","")&amp;LEN(M5))</f>
        <v>240</v>
      </c>
      <c r="O5" s="4">
        <f>IF(LEN(TRIM(M5))=0,0,LEN(TRIM(LEFT(M5,250)))-LEN(SUBSTITUTE(LEFT(M5,250)," ",""))+1)</f>
        <v>42</v>
      </c>
      <c r="P5" s="5" t="s">
        <v>19</v>
      </c>
      <c r="S5" s="3" t="s">
        <v>27</v>
      </c>
      <c r="T5" s="3"/>
      <c r="U5" t="str">
        <f>IF(LEN(T5)=0,"",IF(LEN(T5)&gt;250,"**","")&amp;LEN(T5))</f>
        <v/>
      </c>
      <c r="W5" s="5" t="s">
        <v>19</v>
      </c>
      <c r="X5" s="3" t="s">
        <v>28</v>
      </c>
      <c r="Y5" s="3"/>
      <c r="Z5" t="str">
        <f>IF(LEN(Y5)=0,"",IF(LEN(Y5)&gt;250,"**","")&amp;LEN(Y5))</f>
        <v/>
      </c>
      <c r="AB5" s="5" t="s">
        <v>19</v>
      </c>
      <c r="AC5" s="3" t="s">
        <v>29</v>
      </c>
      <c r="AD5" s="3"/>
      <c r="AE5" t="str">
        <f>IF(LEN(AD5)=0,"",IF(LEN(AD5)&gt;250,"**","")&amp;LEN(AD5))</f>
        <v/>
      </c>
      <c r="AG5" s="4" t="s">
        <v>19</v>
      </c>
    </row>
    <row r="6" s="2" customFormat="1" ht="78.75" spans="1:33">
      <c r="A6" s="3" t="s">
        <v>30</v>
      </c>
      <c r="B6" s="17" t="s">
        <v>31</v>
      </c>
      <c r="C6" t="str">
        <f t="shared" si="0"/>
        <v>15</v>
      </c>
      <c r="D6" s="19"/>
      <c r="E6" s="5" t="s">
        <v>19</v>
      </c>
      <c r="F6" s="21"/>
      <c r="G6" s="18"/>
      <c r="H6" s="18"/>
      <c r="J6" s="19"/>
      <c r="K6" s="20"/>
      <c r="L6" s="7" t="s">
        <v>32</v>
      </c>
      <c r="M6" s="7" t="s">
        <v>33</v>
      </c>
      <c r="N6" t="str">
        <f>IF(LEN(M6)=0,"",IF(LEN(M6)&gt;250,"**","")&amp;LEN(M6))</f>
        <v>**284</v>
      </c>
      <c r="O6" s="4">
        <f>IF(LEN(TRIM(M6))=0,0,LEN(TRIM(LEFT(M6,250)))-LEN(SUBSTITUTE(LEFT(M6,250)," ",""))+1)</f>
        <v>38</v>
      </c>
      <c r="P6" s="5" t="s">
        <v>19</v>
      </c>
      <c r="Q6" s="27"/>
      <c r="S6" s="3"/>
      <c r="T6" s="3"/>
      <c r="U6" t="str">
        <f>IF(LEN(T6)=0,"",IF(LEN(T6)&gt;250,"**","")&amp;LEN(T6))</f>
        <v/>
      </c>
      <c r="V6" s="19"/>
      <c r="W6" s="5"/>
      <c r="X6" s="3"/>
      <c r="Y6" s="3"/>
      <c r="Z6"/>
      <c r="AA6" s="19"/>
      <c r="AB6" s="5"/>
      <c r="AC6" s="3"/>
      <c r="AD6" s="3"/>
      <c r="AE6"/>
      <c r="AF6" s="19"/>
      <c r="AG6" s="4"/>
    </row>
    <row r="7" ht="33.75" spans="1:32">
      <c r="A7" s="3" t="s">
        <v>30</v>
      </c>
      <c r="B7" t="s">
        <v>31</v>
      </c>
      <c r="C7" t="str">
        <f t="shared" si="0"/>
        <v>15</v>
      </c>
      <c r="D7" s="4">
        <f>IF(LEN(TRIM(B7))=0,0,LEN(TRIM(LEFT(B7,80)))-LEN(SUBSTITUTE(LEFT(B7,80)," ",""))+1)</f>
        <v>3</v>
      </c>
      <c r="E7" s="5" t="s">
        <v>19</v>
      </c>
      <c r="F7" s="6" t="str">
        <f>"3/1"</f>
        <v>3/1</v>
      </c>
      <c r="G7" s="3" t="s">
        <v>34</v>
      </c>
      <c r="H7" s="22" t="s">
        <v>35</v>
      </c>
      <c r="I7" t="str">
        <f>IF(LEN(H7)=0,"",IF(LEN(H7)&gt;80,"**","")&amp;LEN(H7))</f>
        <v>8</v>
      </c>
      <c r="J7" s="4">
        <f>IF(LEN(TRIM(H7))=0,0,LEN(TRIM(LEFT(H7,80)))-LEN(SUBSTITUTE(LEFT(H7,80)," ",""))+1)</f>
        <v>1</v>
      </c>
      <c r="K7" s="5" t="s">
        <v>19</v>
      </c>
      <c r="L7" s="7" t="s">
        <v>36</v>
      </c>
      <c r="M7" s="7" t="s">
        <v>37</v>
      </c>
      <c r="N7" t="str">
        <f>IF(LEN(M7)=0,"",IF(LEN(M7)&gt;100,"**","")&amp;LEN(M7))</f>
        <v>93</v>
      </c>
      <c r="O7" s="4">
        <f>IF(LEN(TRIM(M7))=0,0,LEN(TRIM(LEFT(M7,150)))-LEN(SUBSTITUTE(LEFT(M7,150)," ",""))+1)</f>
        <v>14</v>
      </c>
      <c r="P7" s="4" t="s">
        <v>19</v>
      </c>
      <c r="Q7" s="9" t="s">
        <v>38</v>
      </c>
      <c r="R7" t="s">
        <v>39</v>
      </c>
      <c r="U7" t="str">
        <f>IF(LEN(T7)=0,"",IF(LEN(T7)&gt;100,"**","")&amp;LEN(T7))</f>
        <v/>
      </c>
      <c r="V7" s="4">
        <f>IF(LEN(TRIM(T7))=0,0,LEN(TRIM(LEFT(T7,150)))-LEN(SUBSTITUTE(LEFT(T7,150)," ",""))+1)</f>
        <v>0</v>
      </c>
      <c r="AA7" s="4">
        <f>IF(LEN(TRIM(Y7))=0,0,LEN(TRIM(LEFT(Y7,150)))-LEN(SUBSTITUTE(LEFT(Y7,150)," ",""))+1)</f>
        <v>0</v>
      </c>
      <c r="AF7" s="4">
        <f>IF(LEN(TRIM(AD7))=0,0,LEN(TRIM(LEFT(AD7,150)))-LEN(SUBSTITUTE(LEFT(AD7,150)," ",""))+1)</f>
        <v>0</v>
      </c>
    </row>
    <row r="8" ht="22.5" spans="1:32">
      <c r="A8" s="3" t="s">
        <v>40</v>
      </c>
      <c r="B8" t="s">
        <v>41</v>
      </c>
      <c r="C8" t="str">
        <f t="shared" si="0"/>
        <v>8</v>
      </c>
      <c r="D8" s="4">
        <f>IF(LEN(TRIM(B8))=0,0,LEN(TRIM(LEFT(B8,80)))-LEN(SUBSTITUTE(LEFT(B8,80)," ",""))+1)</f>
        <v>1</v>
      </c>
      <c r="E8" s="5" t="s">
        <v>19</v>
      </c>
      <c r="F8" s="6" t="str">
        <f>"2/1"</f>
        <v>2/1</v>
      </c>
      <c r="G8" s="3" t="s">
        <v>42</v>
      </c>
      <c r="H8" s="22" t="s">
        <v>43</v>
      </c>
      <c r="I8" t="str">
        <f>IF(LEN(H8)=0,"",IF(LEN(H8)&gt;80,"**","")&amp;LEN(H8))</f>
        <v>5</v>
      </c>
      <c r="J8" s="4">
        <f>IF(LEN(TRIM(H8))=0,0,LEN(TRIM(LEFT(H8,80)))-LEN(SUBSTITUTE(LEFT(H8,80)," ",""))+1)</f>
        <v>1</v>
      </c>
      <c r="K8" s="5" t="s">
        <v>19</v>
      </c>
      <c r="L8" s="7" t="s">
        <v>44</v>
      </c>
      <c r="M8" s="7" t="s">
        <v>45</v>
      </c>
      <c r="N8" t="str">
        <f>IF(LEN(M8)=0,"",IF(LEN(M8)&gt;100,"**","")&amp;LEN(M8))</f>
        <v>92</v>
      </c>
      <c r="O8" s="4">
        <f>IF(LEN(TRIM(M8))=0,0,LEN(TRIM(LEFT(M8,150)))-LEN(SUBSTITUTE(LEFT(M8,150)," ",""))+1)</f>
        <v>13</v>
      </c>
      <c r="P8" s="4" t="s">
        <v>19</v>
      </c>
      <c r="Q8" s="9" t="s">
        <v>46</v>
      </c>
      <c r="R8" t="s">
        <v>47</v>
      </c>
      <c r="U8" t="str">
        <f>IF(LEN(T8)=0,"",IF(LEN(T8)&gt;100,"**","")&amp;LEN(T8))</f>
        <v/>
      </c>
      <c r="V8" s="4">
        <f>IF(LEN(TRIM(T8))=0,0,LEN(TRIM(LEFT(T8,150)))-LEN(SUBSTITUTE(LEFT(T8,150)," ",""))+1)</f>
        <v>0</v>
      </c>
      <c r="AA8" s="4">
        <f>IF(LEN(TRIM(Y8))=0,0,LEN(TRIM(LEFT(Y8,150)))-LEN(SUBSTITUTE(LEFT(Y8,150)," ",""))+1)</f>
        <v>0</v>
      </c>
      <c r="AF8" s="4">
        <f>IF(LEN(TRIM(AD8))=0,0,LEN(TRIM(LEFT(AD8,150)))-LEN(SUBSTITUTE(LEFT(AD8,150)," ",""))+1)</f>
        <v>0</v>
      </c>
    </row>
    <row r="9" ht="33.75" spans="1:32">
      <c r="A9" s="3" t="s">
        <v>48</v>
      </c>
      <c r="B9" t="s">
        <v>48</v>
      </c>
      <c r="C9" t="str">
        <f t="shared" si="0"/>
        <v>17</v>
      </c>
      <c r="D9" s="4">
        <f>IF(LEN(TRIM(B9))=0,0,LEN(TRIM(LEFT(B9,80)))-LEN(SUBSTITUTE(LEFT(B9,80)," ",""))+1)</f>
        <v>3</v>
      </c>
      <c r="E9" s="5" t="s">
        <v>19</v>
      </c>
      <c r="F9" s="6" t="str">
        <f>"4/1"</f>
        <v>4/1</v>
      </c>
      <c r="G9" s="3" t="s">
        <v>49</v>
      </c>
      <c r="H9" s="22" t="s">
        <v>50</v>
      </c>
      <c r="I9" t="str">
        <f>IF(LEN(H9)=0,"",IF(LEN(H9)&gt;80,"**","")&amp;LEN(H9))</f>
        <v>17</v>
      </c>
      <c r="J9" s="4">
        <f>IF(LEN(TRIM(H9))=0,0,LEN(TRIM(LEFT(H9,80)))-LEN(SUBSTITUTE(LEFT(H9,80)," ",""))+1)</f>
        <v>3</v>
      </c>
      <c r="K9" s="5" t="s">
        <v>19</v>
      </c>
      <c r="L9" s="7" t="s">
        <v>51</v>
      </c>
      <c r="M9" s="7" t="s">
        <v>52</v>
      </c>
      <c r="N9" t="str">
        <f>IF(LEN(M9)=0,"",IF(LEN(M9)&gt;100,"**","")&amp;LEN(M9))</f>
        <v>**121</v>
      </c>
      <c r="O9" s="4">
        <f>IF(LEN(TRIM(M9))=0,0,LEN(TRIM(LEFT(M9,150)))-LEN(SUBSTITUTE(LEFT(M9,150)," ",""))+1)</f>
        <v>16</v>
      </c>
      <c r="P9" s="4" t="s">
        <v>19</v>
      </c>
      <c r="Q9" s="9" t="s">
        <v>53</v>
      </c>
      <c r="R9" t="s">
        <v>54</v>
      </c>
      <c r="U9" t="str">
        <f>IF(LEN(T9)=0,"",IF(LEN(T9)&gt;100,"**","")&amp;LEN(T9))</f>
        <v/>
      </c>
      <c r="V9" s="4">
        <f>IF(LEN(TRIM(T9))=0,0,LEN(TRIM(LEFT(T9,150)))-LEN(SUBSTITUTE(LEFT(T9,150)," ",""))+1)</f>
        <v>0</v>
      </c>
      <c r="AA9" s="4">
        <f>IF(LEN(TRIM(Y9))=0,0,LEN(TRIM(LEFT(Y9,150)))-LEN(SUBSTITUTE(LEFT(Y9,150)," ",""))+1)</f>
        <v>0</v>
      </c>
      <c r="AF9" s="4">
        <f>IF(LEN(TRIM(AD9))=0,0,LEN(TRIM(LEFT(AD9,150)))-LEN(SUBSTITUTE(LEFT(AD9,150)," ",""))+1)</f>
        <v>0</v>
      </c>
    </row>
    <row r="10" ht="22.5" spans="1:16">
      <c r="A10" s="3" t="s">
        <v>55</v>
      </c>
      <c r="B10" s="22" t="s">
        <v>56</v>
      </c>
      <c r="C10" t="str">
        <f t="shared" si="0"/>
        <v>13</v>
      </c>
      <c r="D10" s="4">
        <f>IF(LEN(TRIM(B10))=0,0,LEN(TRIM(LEFT(B10,80)))-LEN(SUBSTITUTE(LEFT(B10,80)," ",""))+1)</f>
        <v>3</v>
      </c>
      <c r="E10" s="5" t="s">
        <v>19</v>
      </c>
      <c r="F10" s="6" t="str">
        <f>"4/1"</f>
        <v>4/1</v>
      </c>
      <c r="G10" s="3" t="s">
        <v>57</v>
      </c>
      <c r="H10" s="22" t="s">
        <v>58</v>
      </c>
      <c r="I10" t="str">
        <f>IF(LEN(H10)=0,"",IF(LEN(H10)&gt;80,"**","")&amp;LEN(H10))</f>
        <v>18</v>
      </c>
      <c r="J10" s="4">
        <f>IF(LEN(TRIM(H10))=0,0,LEN(TRIM(LEFT(H10,80)))-LEN(SUBSTITUTE(LEFT(H10,80)," ",""))+1)</f>
        <v>3</v>
      </c>
      <c r="K10" s="5" t="s">
        <v>19</v>
      </c>
      <c r="L10" s="7" t="s">
        <v>59</v>
      </c>
      <c r="M10" s="7" t="s">
        <v>60</v>
      </c>
      <c r="N10" t="str">
        <f>IF(LEN(M10)=0,"",IF(LEN(M10)&gt;100,"**","")&amp;LEN(M10))</f>
        <v>92</v>
      </c>
      <c r="O10" s="4">
        <f>IF(LEN(TRIM(M10))=0,0,LEN(TRIM(LEFT(M10,150)))-LEN(SUBSTITUTE(LEFT(M10,150)," ",""))+1)</f>
        <v>14</v>
      </c>
      <c r="P10" s="4" t="str">
        <f>IF(AND(LEN(L10)&gt;0,L10=L9),"''","x")</f>
        <v>x</v>
      </c>
    </row>
    <row r="11" ht="22.5" spans="1:16">
      <c r="A11" s="3" t="s">
        <v>61</v>
      </c>
      <c r="B11" t="s">
        <v>62</v>
      </c>
      <c r="C11" t="str">
        <f t="shared" si="0"/>
        <v>11</v>
      </c>
      <c r="D11" s="4">
        <f>IF(LEN(TRIM(B11))=0,0,LEN(TRIM(LEFT(B11,80)))-LEN(SUBSTITUTE(LEFT(B11,80)," ",""))+1)</f>
        <v>3</v>
      </c>
      <c r="E11" s="5" t="s">
        <v>19</v>
      </c>
      <c r="F11" s="6" t="str">
        <f>"2/2"</f>
        <v>2/2</v>
      </c>
      <c r="G11" s="3" t="s">
        <v>63</v>
      </c>
      <c r="H11" t="s">
        <v>64</v>
      </c>
      <c r="I11" t="str">
        <f>IF(LEN(H11)=0,"",IF(LEN(H11)&gt;80,"**","")&amp;LEN(H11))</f>
        <v>21</v>
      </c>
      <c r="J11" s="4">
        <f>IF(LEN(TRIM(H11))=0,0,LEN(TRIM(LEFT(H11,80)))-LEN(SUBSTITUTE(LEFT(H11,80)," ",""))+1)</f>
        <v>4</v>
      </c>
      <c r="K11" s="5" t="s">
        <v>19</v>
      </c>
      <c r="L11" s="7" t="s">
        <v>65</v>
      </c>
      <c r="M11" s="7" t="s">
        <v>66</v>
      </c>
      <c r="N11" t="str">
        <f>IF(LEN(M11)=0,"",IF(LEN(M11)&gt;100,"**","")&amp;LEN(M11))</f>
        <v>88</v>
      </c>
      <c r="O11" s="4">
        <f>IF(LEN(TRIM(M11))=0,0,LEN(TRIM(LEFT(M11,150)))-LEN(SUBSTITUTE(LEFT(M11,150)," ",""))+1)</f>
        <v>11</v>
      </c>
      <c r="P11" s="4" t="s">
        <v>19</v>
      </c>
    </row>
  </sheetData>
  <conditionalFormatting sqref="U$1:U$1048576">
    <cfRule type="expression" dxfId="0" priority="5" stopIfTrue="1">
      <formula>(LEFT(U1,1)="*")</formula>
    </cfRule>
  </conditionalFormatting>
  <conditionalFormatting sqref="Z$1:Z$1048576">
    <cfRule type="expression" dxfId="0" priority="4" stopIfTrue="1">
      <formula>(LEFT(Z1,1)="*")</formula>
    </cfRule>
  </conditionalFormatting>
  <conditionalFormatting sqref="AE$1:AE$1048576">
    <cfRule type="expression" dxfId="0" priority="1" stopIfTrue="1">
      <formula>(LEFT(AE1,1)="*")</formula>
    </cfRule>
  </conditionalFormatting>
  <conditionalFormatting sqref="C1:C65536 I1:I65536 N1:N65536">
    <cfRule type="expression" dxfId="0" priority="2" stopIfTrue="1">
      <formula>(LEFT(C1,1)="*")</formula>
    </cfRule>
  </conditionalFormatting>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Company>Systems Support</Company>
  <Application>Microsoft Macintosh Excel</Application>
  <HeadingPairs>
    <vt:vector size="2" baseType="variant">
      <vt:variant>
        <vt:lpstr>工作表</vt:lpstr>
      </vt:variant>
      <vt:variant>
        <vt:i4>1</vt:i4>
      </vt:variant>
    </vt:vector>
  </HeadingPairs>
  <TitlesOfParts>
    <vt:vector size="1" baseType="lpstr">
      <vt:lpstr>Translation Sample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Don Gobbi Nshombo</cp:lastModifiedBy>
  <dcterms:created xsi:type="dcterms:W3CDTF">2002-03-18T18:07:00Z</dcterms:created>
  <dcterms:modified xsi:type="dcterms:W3CDTF">2026-09-21T23:54:35Z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E5C02FBDE4F74B09AF4FEE7CCA855ACD_13</vt:lpwstr>
  </property>
  <property fmtid="{D5CDD505-2E9C-101B-9397-08002B2CF9AE}" pid="3" name="KSOProductBuildVer">
    <vt:lpwstr>1033-12.2.0.23206</vt:lpwstr>
  </property>
</Properties>
</file>